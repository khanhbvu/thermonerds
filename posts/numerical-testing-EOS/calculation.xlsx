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hermonerds\posts\numerical testing for EOS\"/>
    </mc:Choice>
  </mc:AlternateContent>
  <bookViews>
    <workbookView xWindow="0" yWindow="0" windowWidth="23040" windowHeight="885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" l="1"/>
  <c r="Q12" i="1"/>
  <c r="P12" i="1"/>
  <c r="P13" i="1" s="1"/>
  <c r="P14" i="1" s="1"/>
  <c r="P15" i="1" s="1"/>
  <c r="C10" i="1"/>
  <c r="G5" i="1" s="1"/>
  <c r="F12" i="1" s="1"/>
  <c r="B10" i="1"/>
  <c r="S7" i="1"/>
  <c r="S6" i="1"/>
  <c r="G6" i="1"/>
  <c r="F8" i="1" s="1"/>
  <c r="F6" i="1"/>
  <c r="S5" i="1"/>
  <c r="Q13" i="1" s="1"/>
  <c r="S4" i="1"/>
  <c r="P4" i="1"/>
  <c r="P5" i="1" s="1"/>
  <c r="P6" i="1" s="1"/>
  <c r="P7" i="1" s="1"/>
  <c r="S3" i="1"/>
  <c r="Q11" i="1" s="1"/>
  <c r="Q3" i="1"/>
  <c r="G3" i="1"/>
  <c r="G4" i="1" s="1"/>
  <c r="F3" i="1"/>
  <c r="F4" i="1" s="1"/>
  <c r="F5" i="1" s="1"/>
  <c r="F7" i="1" l="1"/>
  <c r="F11" i="1"/>
  <c r="M7" i="1" s="1"/>
  <c r="F10" i="1"/>
  <c r="J5" i="1"/>
  <c r="J2" i="1"/>
  <c r="J4" i="1"/>
  <c r="J6" i="1" s="1"/>
  <c r="J3" i="1"/>
  <c r="Q15" i="1"/>
  <c r="M3" i="1" l="1"/>
  <c r="N3" i="1"/>
  <c r="M2" i="1"/>
  <c r="N2" i="1" s="1"/>
  <c r="F9" i="1"/>
  <c r="J7" i="1" s="1"/>
  <c r="M6" i="1"/>
  <c r="M8" i="1" s="1"/>
  <c r="Q16" i="1" a="1"/>
  <c r="Q16" i="1" s="1"/>
  <c r="T3" i="1" l="1"/>
  <c r="U3" i="1" s="1"/>
  <c r="R11" i="1" s="1"/>
  <c r="T4" i="1"/>
  <c r="U4" i="1" s="1"/>
  <c r="R12" i="1" s="1"/>
  <c r="T6" i="1"/>
  <c r="U6" i="1" s="1"/>
  <c r="R14" i="1" s="1"/>
  <c r="T7" i="1"/>
  <c r="U7" i="1" s="1"/>
  <c r="R15" i="1" s="1"/>
  <c r="T5" i="1"/>
  <c r="U5" i="1" s="1"/>
  <c r="R13" i="1" s="1"/>
  <c r="S14" i="1"/>
  <c r="S12" i="1"/>
  <c r="S11" i="1"/>
  <c r="S13" i="1"/>
  <c r="N8" i="1"/>
  <c r="S15" i="1"/>
  <c r="R16" i="1" l="1" a="1"/>
  <c r="R16" i="1" s="1"/>
  <c r="T11" i="1"/>
  <c r="V15" i="1"/>
  <c r="V13" i="1"/>
  <c r="V11" i="1"/>
  <c r="U11" i="1"/>
  <c r="V12" i="1"/>
  <c r="V14" i="1"/>
  <c r="T13" i="1"/>
  <c r="U13" i="1" s="1"/>
  <c r="T15" i="1"/>
  <c r="U15" i="1" s="1"/>
  <c r="T14" i="1"/>
  <c r="U14" i="1" s="1"/>
  <c r="T12" i="1"/>
  <c r="U12" i="1" s="1"/>
  <c r="U16" i="1" l="1"/>
  <c r="V16" i="1"/>
  <c r="U17" i="1" l="1"/>
</calcChain>
</file>

<file path=xl/sharedStrings.xml><?xml version="1.0" encoding="utf-8"?>
<sst xmlns="http://schemas.openxmlformats.org/spreadsheetml/2006/main" count="80" uniqueCount="75">
  <si>
    <t>Methane</t>
  </si>
  <si>
    <t>Ethane</t>
  </si>
  <si>
    <t>EOS parameters</t>
  </si>
  <si>
    <t>Quantity</t>
  </si>
  <si>
    <t>Formula</t>
  </si>
  <si>
    <t>Value</t>
  </si>
  <si>
    <t>Term</t>
  </si>
  <si>
    <t>i = 1 (methane)</t>
  </si>
  <si>
    <t>i = 2 (ethane)</t>
  </si>
  <si>
    <t>Tc [K]</t>
  </si>
  <si>
    <t>g</t>
  </si>
  <si>
    <t>ln(1 − B/V)</t>
  </si>
  <si>
    <t>−RT·g</t>
  </si>
  <si>
    <t>p</t>
  </si>
  <si>
    <t>n_pert</t>
  </si>
  <si>
    <t>A_res_pert</t>
  </si>
  <si>
    <t>E1</t>
  </si>
  <si>
    <t>Aₙ₁·n₁·p</t>
  </si>
  <si>
    <t>E2</t>
  </si>
  <si>
    <t>Pc [MPa]</t>
  </si>
  <si>
    <t>m (Eq. 2.9)</t>
  </si>
  <si>
    <t>g_B</t>
  </si>
  <si>
    <t>−1/(V − B)</t>
  </si>
  <si>
    <t>−n_tot·RT·g_B·bᵢ</t>
  </si>
  <si>
    <t>ω</t>
  </si>
  <si>
    <t>α (Eq. 2.8)</t>
  </si>
  <si>
    <t>f</t>
  </si>
  <si>
    <t>ln(1 + B/V)/B</t>
  </si>
  <si>
    <t>−Dᵢ·f</t>
  </si>
  <si>
    <t>nᵢ [mol]</t>
  </si>
  <si>
    <t>aᵢ = a_c·α [J·cm³/mol²]</t>
  </si>
  <si>
    <t>f_V</t>
  </si>
  <si>
    <t>−1/(V(V + B))</t>
  </si>
  <si>
    <t>−D·f_B·bᵢ</t>
  </si>
  <si>
    <t>T [K]</t>
  </si>
  <si>
    <t>bᵢ [cm³/mol]</t>
  </si>
  <si>
    <t>f_B</t>
  </si>
  <si>
    <t>−(f + V·f_V)/B</t>
  </si>
  <si>
    <t>D1</t>
  </si>
  <si>
    <t>V, cm3</t>
  </si>
  <si>
    <t>a_12</t>
  </si>
  <si>
    <t>A_res</t>
  </si>
  <si>
    <t>−n_tot·RT·g − D·f</t>
  </si>
  <si>
    <t>D2</t>
  </si>
  <si>
    <t>KIJ</t>
  </si>
  <si>
    <t>B</t>
  </si>
  <si>
    <t>Aₙᵢ</t>
  </si>
  <si>
    <t>R_g</t>
  </si>
  <si>
    <t>D</t>
  </si>
  <si>
    <t>a_c</t>
  </si>
  <si>
    <t>a_11</t>
  </si>
  <si>
    <t>r</t>
  </si>
  <si>
    <t>F1 = ln|E1|</t>
  </si>
  <si>
    <t>F2 = ln|E2|</t>
  </si>
  <si>
    <t>d1 = F1 − F̄1</t>
  </si>
  <si>
    <t>d2 = F2 − F̄2</t>
  </si>
  <si>
    <t>d1·d2</t>
  </si>
  <si>
    <t>d1²</t>
  </si>
  <si>
    <t>a_12=a_21</t>
  </si>
  <si>
    <t>a_22</t>
  </si>
  <si>
    <t>Testing ∂A_res/∂nᵢ by Hand</t>
  </si>
  <si>
    <t>Mean</t>
  </si>
  <si>
    <t>E1 = A_res(n_pert) − A_res(n) ≈ (∂A/∂nᵢ)·nᵢp. This is first order, so it scales like p.</t>
  </si>
  <si>
    <t>Slope</t>
  </si>
  <si>
    <t>E2 = E1 − (∂A/∂nᵢ)·nᵢp. This scales like p² if the derivative is correct, so the slope should be about 2.</t>
  </si>
  <si>
    <r>
      <t>m</t>
    </r>
    <r>
      <rPr>
        <sz val="11"/>
        <color theme="1"/>
        <rFont val="Calibri"/>
        <family val="2"/>
        <scheme val="minor"/>
      </rPr>
      <t xml:space="preserve"> = 0.480 + 1.574ω − 0.175ω² = </t>
    </r>
    <r>
      <rPr>
        <b/>
        <sz val="11"/>
        <color theme="1"/>
        <rFont val="Calibri"/>
        <family val="2"/>
        <scheme val="minor"/>
      </rPr>
      <t>0.497293</t>
    </r>
    <r>
      <rPr>
        <sz val="11"/>
        <color theme="1"/>
        <rFont val="Calibri"/>
        <family val="2"/>
        <scheme val="minor"/>
      </rPr>
      <t xml:space="preserve"> (Eq. 2.9)</t>
    </r>
  </si>
  <si>
    <r>
      <t>α</t>
    </r>
    <r>
      <rPr>
        <sz val="11"/>
        <color theme="1"/>
        <rFont val="Calibri"/>
        <family val="2"/>
        <scheme val="minor"/>
      </rPr>
      <t xml:space="preserve"> = [1 + m(1 − √(T/Tc))]². With √(300/190.56) = 1.25472, this gives [1 − 0.12666]² = </t>
    </r>
    <r>
      <rPr>
        <b/>
        <sz val="11"/>
        <color theme="1"/>
        <rFont val="Calibri"/>
        <family val="2"/>
        <scheme val="minor"/>
      </rPr>
      <t>0.762710</t>
    </r>
    <r>
      <rPr>
        <sz val="11"/>
        <color theme="1"/>
        <rFont val="Calibri"/>
        <family val="2"/>
        <scheme val="minor"/>
      </rPr>
      <t xml:space="preserve"> (Eq. 2.8)</t>
    </r>
  </si>
  <si>
    <r>
      <t>a_c</t>
    </r>
    <r>
      <rPr>
        <sz val="11"/>
        <color theme="1"/>
        <rFont val="Calibri"/>
        <family val="2"/>
        <scheme val="minor"/>
      </rPr>
      <t xml:space="preserve"> = 4.2747×10⁵·R_g²·Tc²/Pc = </t>
    </r>
    <r>
      <rPr>
        <b/>
        <sz val="11"/>
        <color theme="1"/>
        <rFont val="Calibri"/>
        <family val="2"/>
        <scheme val="minor"/>
      </rPr>
      <t>233 332 J·cm³/mol²</t>
    </r>
    <r>
      <rPr>
        <sz val="11"/>
        <color theme="1"/>
        <rFont val="Calibri"/>
        <family val="2"/>
        <scheme val="minor"/>
      </rPr>
      <t xml:space="preserve"> (Eq. 2.7)</t>
    </r>
  </si>
  <si>
    <r>
      <t>a</t>
    </r>
    <r>
      <rPr>
        <sz val="11"/>
        <color theme="1"/>
        <rFont val="Calibri"/>
        <family val="2"/>
        <scheme val="minor"/>
      </rPr>
      <t xml:space="preserve"> = a_c·α = </t>
    </r>
    <r>
      <rPr>
        <b/>
        <sz val="11"/>
        <color theme="1"/>
        <rFont val="Calibri"/>
        <family val="2"/>
        <scheme val="minor"/>
      </rPr>
      <t>177 964 J·cm³/mol²</t>
    </r>
  </si>
  <si>
    <r>
      <t>b</t>
    </r>
    <r>
      <rPr>
        <sz val="11"/>
        <color theme="1"/>
        <rFont val="Calibri"/>
        <family val="2"/>
        <scheme val="minor"/>
      </rPr>
      <t xml:space="preserve"> = 8.664×10⁴·R_g·Tc/Pc = </t>
    </r>
    <r>
      <rPr>
        <b/>
        <sz val="11"/>
        <color theme="1"/>
        <rFont val="Calibri"/>
        <family val="2"/>
        <scheme val="minor"/>
      </rPr>
      <t>29.8484 cm³/mol</t>
    </r>
    <r>
      <rPr>
        <sz val="11"/>
        <color theme="1"/>
        <rFont val="Calibri"/>
        <family val="2"/>
        <scheme val="minor"/>
      </rPr>
      <t xml:space="preserve"> (Eq. 2.10)</t>
    </r>
  </si>
  <si>
    <t>A_res = −n_tot·RT·g − D·f</t>
  </si>
  <si>
    <t>a₁₂ = √(a₁a₂)(1 − K₁₂)</t>
  </si>
  <si>
    <r>
      <t>B</t>
    </r>
    <r>
      <rPr>
        <sz val="11"/>
        <color theme="1"/>
        <rFont val="Calibri"/>
        <family val="2"/>
        <scheme val="minor"/>
      </rPr>
      <t xml:space="preserve"> = Σnᵢbᵢ = 0.6(29.8484) + 0.4(45.1441) = </t>
    </r>
    <r>
      <rPr>
        <b/>
        <sz val="11"/>
        <color theme="1"/>
        <rFont val="Calibri"/>
        <family val="2"/>
        <scheme val="minor"/>
      </rPr>
      <t>35.9667 cm³</t>
    </r>
  </si>
  <si>
    <r>
      <t>D</t>
    </r>
    <r>
      <rPr>
        <sz val="11"/>
        <color theme="1"/>
        <rFont val="Calibri"/>
        <family val="2"/>
        <scheme val="minor"/>
      </rPr>
      <t xml:space="preserve"> = ΣΣ nᵢnⱼaᵢⱼ = 0.36(177 964) + 2(0.24)(315 787) + 0.16(571 720) = </t>
    </r>
    <r>
      <rPr>
        <b/>
        <sz val="11"/>
        <color theme="1"/>
        <rFont val="Calibri"/>
        <family val="2"/>
        <scheme val="minor"/>
      </rPr>
      <t>307 120</t>
    </r>
  </si>
  <si>
    <t>Dᵢ = ∂D/∂nᵢ = 2Σⱼaᵢⱼnⱼ; D1 = 2(a11.n1+a12.n2)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</si>
</sst>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137160</xdr:colOff>
      <xdr:row>15</xdr:row>
      <xdr:rowOff>60960</xdr:rowOff>
    </xdr:from>
    <xdr:to>
      <xdr:col>11</xdr:col>
      <xdr:colOff>419457</xdr:colOff>
      <xdr:row>19</xdr:row>
      <xdr:rowOff>76264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FB7E931E-4AD9-0163-A780-F5D76BE31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7540" y="3246120"/>
          <a:ext cx="4305657" cy="74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F13" sqref="F13"/>
    </sheetView>
  </sheetViews>
  <sheetFormatPr defaultRowHeight="14.4" x14ac:dyDescent="0.55000000000000004"/>
  <cols>
    <col min="5" max="5" width="21.1015625" customWidth="1"/>
    <col min="6" max="6" width="12.05078125" style="1" customWidth="1"/>
    <col min="7" max="7" width="13.05078125" style="1" customWidth="1"/>
    <col min="9" max="9" width="16.578125" customWidth="1"/>
    <col min="10" max="10" width="19.20703125" customWidth="1"/>
    <col min="11" max="11" width="19.7890625" customWidth="1"/>
    <col min="12" max="12" width="18.1015625" customWidth="1"/>
    <col min="13" max="13" width="14.3671875" customWidth="1"/>
    <col min="14" max="14" width="15.05078125" customWidth="1"/>
    <col min="17" max="17" width="13.05078125" customWidth="1"/>
    <col min="19" max="19" width="14.578125" customWidth="1"/>
    <col min="20" max="20" width="16" customWidth="1"/>
    <col min="21" max="21" width="15.7890625" customWidth="1"/>
  </cols>
  <sheetData>
    <row r="1" spans="1:22" x14ac:dyDescent="0.55000000000000004">
      <c r="B1" t="s">
        <v>0</v>
      </c>
      <c r="C1" t="s">
        <v>1</v>
      </c>
      <c r="E1" t="s">
        <v>2</v>
      </c>
      <c r="H1" s="2" t="s">
        <v>3</v>
      </c>
      <c r="I1" s="2" t="s">
        <v>4</v>
      </c>
      <c r="J1" s="2" t="s">
        <v>5</v>
      </c>
      <c r="K1" s="2"/>
      <c r="L1" s="2" t="s">
        <v>6</v>
      </c>
      <c r="M1" s="2" t="s">
        <v>7</v>
      </c>
      <c r="N1" s="2" t="s">
        <v>8</v>
      </c>
      <c r="P1" s="2" t="s">
        <v>0</v>
      </c>
    </row>
    <row r="2" spans="1:22" ht="28.8" x14ac:dyDescent="0.55000000000000004">
      <c r="A2" s="3" t="s">
        <v>9</v>
      </c>
      <c r="B2" s="3">
        <v>190.56</v>
      </c>
      <c r="C2" s="3">
        <v>305.32</v>
      </c>
      <c r="E2" s="2"/>
      <c r="F2" s="2" t="s">
        <v>0</v>
      </c>
      <c r="G2" s="2" t="s">
        <v>1</v>
      </c>
      <c r="H2" s="3" t="s">
        <v>10</v>
      </c>
      <c r="I2" s="3" t="s">
        <v>11</v>
      </c>
      <c r="J2">
        <f>LN(1-F8/B7)</f>
        <v>-7.465169464902148E-2</v>
      </c>
      <c r="K2" s="3"/>
      <c r="L2" s="3" t="s">
        <v>12</v>
      </c>
      <c r="M2">
        <f>-B9*B6*J2</f>
        <v>186.20661735889195</v>
      </c>
      <c r="N2">
        <f>M2</f>
        <v>186.20661735889195</v>
      </c>
      <c r="P2" s="2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</row>
    <row r="3" spans="1:22" x14ac:dyDescent="0.55000000000000004">
      <c r="A3" s="3" t="s">
        <v>19</v>
      </c>
      <c r="B3" s="3">
        <v>4.5990000000000002</v>
      </c>
      <c r="C3" s="3">
        <v>4.8719999999999999</v>
      </c>
      <c r="E3" s="3" t="s">
        <v>20</v>
      </c>
      <c r="F3">
        <f>0.48+1.574*B4-0.175*B4^2</f>
        <v>0.49729282499999999</v>
      </c>
      <c r="G3">
        <f>0.48+1.574*C4-0.175*C4^2</f>
        <v>0.63411082500000004</v>
      </c>
      <c r="H3" s="3" t="s">
        <v>21</v>
      </c>
      <c r="I3" s="3" t="s">
        <v>22</v>
      </c>
      <c r="J3">
        <f>-1/(B7-F8)</f>
        <v>-2.1550175668843654E-3</v>
      </c>
      <c r="K3" s="3"/>
      <c r="L3" s="3" t="s">
        <v>23</v>
      </c>
      <c r="M3">
        <f>-(B5+C5)*B$9*B$6*J3*F6</f>
        <v>160.44538057565802</v>
      </c>
      <c r="N3">
        <f>-(B5+C5)*C$9*C$6*J3*G6</f>
        <v>242.66484100902733</v>
      </c>
      <c r="P3">
        <v>0.01</v>
      </c>
      <c r="Q3">
        <f>(0.6+0.6*P3)</f>
        <v>0.60599999999999998</v>
      </c>
      <c r="R3">
        <v>-410.1741426858668</v>
      </c>
      <c r="S3">
        <f>R3-$Q$8</f>
        <v>-3.2275497198620542</v>
      </c>
      <c r="T3">
        <f>$M$8*0.6*P3</f>
        <v>-3.22203156014645</v>
      </c>
      <c r="U3">
        <f>S3-T3</f>
        <v>-5.5181597156042095E-3</v>
      </c>
    </row>
    <row r="4" spans="1:22" x14ac:dyDescent="0.55000000000000004">
      <c r="A4" s="3" t="s">
        <v>24</v>
      </c>
      <c r="B4" s="3">
        <v>1.0999999999999999E-2</v>
      </c>
      <c r="C4" s="3">
        <v>9.9000000000000005E-2</v>
      </c>
      <c r="E4" s="3" t="s">
        <v>25</v>
      </c>
      <c r="F4">
        <f>(1+F3*(1-SQRT(B$6/B2)))^2</f>
        <v>0.76270972354843569</v>
      </c>
      <c r="G4">
        <f>(1+G3*(1-SQRT(B$6/C2)))^2</f>
        <v>1.0111283065710004</v>
      </c>
      <c r="H4" s="3" t="s">
        <v>26</v>
      </c>
      <c r="I4" s="3" t="s">
        <v>27</v>
      </c>
      <c r="J4">
        <f>LN(1+F8/B7)/F8</f>
        <v>1.931340281309519E-3</v>
      </c>
      <c r="K4" s="3"/>
      <c r="L4" s="3" t="s">
        <v>28</v>
      </c>
      <c r="P4">
        <f>P3/10</f>
        <v>1E-3</v>
      </c>
      <c r="Q4">
        <v>0.60060000000000002</v>
      </c>
      <c r="R4">
        <v>-407.26885133110716</v>
      </c>
      <c r="S4">
        <f>R4-$Q$8</f>
        <v>-0.32225836510241379</v>
      </c>
      <c r="T4">
        <f t="shared" ref="T4:T7" si="0">$M$8*0.6*P4</f>
        <v>-0.322203156014645</v>
      </c>
      <c r="U4">
        <f>S4-T4</f>
        <v>-5.5209087768792742E-5</v>
      </c>
    </row>
    <row r="5" spans="1:22" x14ac:dyDescent="0.55000000000000004">
      <c r="A5" s="3" t="s">
        <v>29</v>
      </c>
      <c r="B5">
        <v>0.6</v>
      </c>
      <c r="C5" s="4">
        <v>0.4</v>
      </c>
      <c r="E5" s="3" t="s">
        <v>30</v>
      </c>
      <c r="F5" s="1">
        <f>B10*F4</f>
        <v>177964.497685635</v>
      </c>
      <c r="G5" s="1">
        <f>C10*G4</f>
        <v>571720.16153027839</v>
      </c>
      <c r="H5" s="3" t="s">
        <v>31</v>
      </c>
      <c r="I5" s="3" t="s">
        <v>32</v>
      </c>
      <c r="J5">
        <f>-1/(B7*(B7+F8))</f>
        <v>-3.731575395337888E-6</v>
      </c>
      <c r="K5" s="3"/>
      <c r="L5" s="3" t="s">
        <v>33</v>
      </c>
      <c r="P5">
        <f t="shared" ref="P5:P7" si="1">P4/10</f>
        <v>1E-4</v>
      </c>
      <c r="Q5">
        <v>0.60005999999999993</v>
      </c>
      <c r="R5">
        <v>-406.978813833723</v>
      </c>
      <c r="S5">
        <f t="shared" ref="S5:S7" si="2">R5-$Q$8</f>
        <v>-3.2220867718251611E-2</v>
      </c>
      <c r="T5">
        <f t="shared" si="0"/>
        <v>-3.2220315601464503E-2</v>
      </c>
      <c r="U5">
        <f>S5-T5</f>
        <v>-5.5211678710864742E-7</v>
      </c>
    </row>
    <row r="6" spans="1:22" x14ac:dyDescent="0.55000000000000004">
      <c r="A6" s="3" t="s">
        <v>34</v>
      </c>
      <c r="B6" s="3">
        <v>300</v>
      </c>
      <c r="C6" s="3">
        <v>300</v>
      </c>
      <c r="E6" s="3" t="s">
        <v>35</v>
      </c>
      <c r="F6">
        <f>8.664*(10^4)*(B2*B9)/(B3*10^6)</f>
        <v>29.848393619385515</v>
      </c>
      <c r="G6">
        <f>8.664*(10^4)*(C2*C9)/(C3*10^6)</f>
        <v>45.144058782094646</v>
      </c>
      <c r="H6" s="3" t="s">
        <v>36</v>
      </c>
      <c r="I6" s="3" t="s">
        <v>37</v>
      </c>
      <c r="J6">
        <f>-(J4+B7*J5)/F8</f>
        <v>-1.8225930407677383E-6</v>
      </c>
      <c r="K6" s="3"/>
      <c r="L6" s="3" t="s">
        <v>38</v>
      </c>
      <c r="M6">
        <f>2*(F10*B5+F11*C5)</f>
        <v>466186.64097776706</v>
      </c>
      <c r="P6">
        <f t="shared" si="1"/>
        <v>1.0000000000000001E-5</v>
      </c>
      <c r="Q6">
        <v>0.60000599999999993</v>
      </c>
      <c r="R6">
        <v>-406.94981500308518</v>
      </c>
      <c r="S6">
        <f t="shared" si="2"/>
        <v>-3.2220370804338927E-3</v>
      </c>
      <c r="T6">
        <f t="shared" si="0"/>
        <v>-3.2220315601464503E-3</v>
      </c>
      <c r="U6">
        <f>S6-T6</f>
        <v>-5.5202874424398196E-9</v>
      </c>
    </row>
    <row r="7" spans="1:22" x14ac:dyDescent="0.55000000000000004">
      <c r="A7" s="3" t="s">
        <v>39</v>
      </c>
      <c r="B7" s="3">
        <v>500</v>
      </c>
      <c r="C7" s="3">
        <v>500</v>
      </c>
      <c r="E7" s="3" t="s">
        <v>40</v>
      </c>
      <c r="F7" s="1">
        <f>SQRT(F5*G5)*(1-B8)</f>
        <v>315786.55469375628</v>
      </c>
      <c r="H7" s="4" t="s">
        <v>41</v>
      </c>
      <c r="I7" t="s">
        <v>42</v>
      </c>
      <c r="J7" s="5">
        <f>-(B5+C5)*B9*B6*J2-F9*J4</f>
        <v>-406.94659296600474</v>
      </c>
      <c r="L7" s="3" t="s">
        <v>43</v>
      </c>
      <c r="M7" s="3">
        <f>2*(F11*B5+F12*C5)</f>
        <v>836319.99485673034</v>
      </c>
      <c r="N7" s="3"/>
      <c r="P7">
        <f t="shared" si="1"/>
        <v>1.0000000000000002E-6</v>
      </c>
      <c r="Q7">
        <v>0.6000006</v>
      </c>
      <c r="R7">
        <v>-406.94691516921534</v>
      </c>
      <c r="S7">
        <f t="shared" si="2"/>
        <v>-3.2220321060094648E-4</v>
      </c>
      <c r="T7">
        <f t="shared" si="0"/>
        <v>-3.2220315601464507E-4</v>
      </c>
      <c r="U7">
        <f>S7-T7</f>
        <v>-5.4586301407796856E-11</v>
      </c>
    </row>
    <row r="8" spans="1:22" x14ac:dyDescent="0.55000000000000004">
      <c r="A8" s="3" t="s">
        <v>44</v>
      </c>
      <c r="B8" s="3">
        <v>0.01</v>
      </c>
      <c r="C8" s="3">
        <v>0.01</v>
      </c>
      <c r="E8" s="3" t="s">
        <v>45</v>
      </c>
      <c r="F8" s="1">
        <f>B5*F6+C5*G6</f>
        <v>35.966659684469164</v>
      </c>
      <c r="H8" s="3"/>
      <c r="L8" s="6" t="s">
        <v>46</v>
      </c>
      <c r="M8" s="4">
        <f>-$B9*$B6*$J2-(B5+C5)*$B9*$B6*J3*F6-M6*J4-F9*J6*F6</f>
        <v>-537.00526002440836</v>
      </c>
      <c r="N8" s="4">
        <f>-B9*B6*J2-(B5+C5)*B9*B6*J3*G6-M7*J4-F9*J6*G6</f>
        <v>-1161.0774340304511</v>
      </c>
      <c r="P8" t="s">
        <v>41</v>
      </c>
      <c r="Q8">
        <v>-406.94659296600474</v>
      </c>
    </row>
    <row r="9" spans="1:22" x14ac:dyDescent="0.55000000000000004">
      <c r="A9" s="3" t="s">
        <v>47</v>
      </c>
      <c r="B9">
        <v>8.3144626180000003</v>
      </c>
      <c r="C9">
        <v>8.3144626180000003</v>
      </c>
      <c r="E9" s="3" t="s">
        <v>48</v>
      </c>
      <c r="F9" s="1">
        <f>B5*B5*F10+B5*C5*F11+C5*B5*F11+C5*C5*F12</f>
        <v>307119.99126467615</v>
      </c>
      <c r="M9" s="3"/>
      <c r="N9" s="3"/>
    </row>
    <row r="10" spans="1:22" ht="28.8" x14ac:dyDescent="0.55000000000000004">
      <c r="A10" s="3" t="s">
        <v>49</v>
      </c>
      <c r="B10">
        <f>4.2747*(10^5)*((B9*B2)^2)/(B3*10^6)</f>
        <v>233331.88523895014</v>
      </c>
      <c r="C10">
        <f>4.2747*(10^5)*((C9*C2)^2)/(C3*10^6)</f>
        <v>565427.9064435754</v>
      </c>
      <c r="E10" s="3" t="s">
        <v>50</v>
      </c>
      <c r="F10" s="1">
        <f>SQRT(F5*F5)*(1-0)</f>
        <v>177964.497685635</v>
      </c>
      <c r="M10" s="3"/>
      <c r="N10" s="3"/>
      <c r="P10" s="2" t="s">
        <v>51</v>
      </c>
      <c r="Q10" s="2" t="s">
        <v>52</v>
      </c>
      <c r="R10" s="2" t="s">
        <v>53</v>
      </c>
      <c r="S10" s="2" t="s">
        <v>54</v>
      </c>
      <c r="T10" s="2" t="s">
        <v>55</v>
      </c>
      <c r="U10" s="2" t="s">
        <v>56</v>
      </c>
      <c r="V10" s="2" t="s">
        <v>57</v>
      </c>
    </row>
    <row r="11" spans="1:22" x14ac:dyDescent="0.55000000000000004">
      <c r="E11" s="3" t="s">
        <v>58</v>
      </c>
      <c r="F11" s="1">
        <f>SQRT(F5*G5)*(1-B8)</f>
        <v>315786.55469375628</v>
      </c>
      <c r="M11" s="7"/>
      <c r="N11" s="7"/>
      <c r="P11">
        <v>0.01</v>
      </c>
      <c r="Q11">
        <f>LN(ABS(S3))</f>
        <v>1.171723248689579</v>
      </c>
      <c r="R11">
        <f>LN(ABS(U3))</f>
        <v>-5.1997108591325283</v>
      </c>
      <c r="S11">
        <f>Q11-$Q$16</f>
        <v>4.6065010505627191</v>
      </c>
      <c r="T11">
        <f>R11-$R$16</f>
        <v>9.2122239700275372</v>
      </c>
      <c r="U11">
        <f>S11*T11</f>
        <v>42.436119395950911</v>
      </c>
      <c r="V11">
        <f>S11*S11</f>
        <v>21.219851928835435</v>
      </c>
    </row>
    <row r="12" spans="1:22" x14ac:dyDescent="0.55000000000000004">
      <c r="E12" s="3" t="s">
        <v>59</v>
      </c>
      <c r="F12" s="1">
        <f>SQRT(G5*G5)*(1-0)</f>
        <v>571720.16153027839</v>
      </c>
      <c r="P12">
        <f>P11/10</f>
        <v>1E-3</v>
      </c>
      <c r="Q12">
        <f t="shared" ref="Q12:Q15" si="3">LN(ABS(S4))</f>
        <v>-1.1324016790748861</v>
      </c>
      <c r="R12">
        <f t="shared" ref="R12:R15" si="4">LN(ABS(U4))</f>
        <v>-9.8043829847392079</v>
      </c>
      <c r="S12">
        <f t="shared" ref="S12:S15" si="5">Q12-$Q$16</f>
        <v>2.302376122798254</v>
      </c>
      <c r="T12">
        <f t="shared" ref="T12:T15" si="6">R12-$R$16</f>
        <v>4.6075518444208576</v>
      </c>
      <c r="U12">
        <f t="shared" ref="U12:U15" si="7">S12*T12</f>
        <v>10.608317351149639</v>
      </c>
      <c r="V12">
        <f t="shared" ref="V12:V15" si="8">S12*S12</f>
        <v>5.300935810831521</v>
      </c>
    </row>
    <row r="13" spans="1:22" x14ac:dyDescent="0.55000000000000004">
      <c r="P13">
        <f t="shared" ref="P13:P15" si="9">P12/10</f>
        <v>1E-4</v>
      </c>
      <c r="Q13">
        <f t="shared" si="3"/>
        <v>-3.4351409705515104</v>
      </c>
      <c r="R13">
        <f t="shared" si="4"/>
        <v>-14.409506242198272</v>
      </c>
      <c r="S13">
        <f t="shared" si="5"/>
        <v>-3.6316867837049571E-4</v>
      </c>
      <c r="T13">
        <f t="shared" si="6"/>
        <v>2.4285869617930445E-3</v>
      </c>
      <c r="U13">
        <f t="shared" si="7"/>
        <v>-8.8198671722219747E-7</v>
      </c>
      <c r="V13">
        <f t="shared" si="8"/>
        <v>1.3189148894937255E-7</v>
      </c>
    </row>
    <row r="14" spans="1:22" x14ac:dyDescent="0.55000000000000004">
      <c r="P14">
        <f t="shared" si="9"/>
        <v>1.0000000000000001E-5</v>
      </c>
      <c r="Q14">
        <f t="shared" si="3"/>
        <v>-5.737741485779023</v>
      </c>
      <c r="R14">
        <f t="shared" si="4"/>
        <v>-19.01483590510739</v>
      </c>
      <c r="S14">
        <f t="shared" si="5"/>
        <v>-2.3029636839058831</v>
      </c>
      <c r="T14">
        <f t="shared" si="6"/>
        <v>-4.6029010759473241</v>
      </c>
      <c r="U14">
        <f t="shared" si="7"/>
        <v>10.600314018518002</v>
      </c>
      <c r="V14">
        <f t="shared" si="8"/>
        <v>5.3036417293893567</v>
      </c>
    </row>
    <row r="15" spans="1:22" x14ac:dyDescent="0.55000000000000004">
      <c r="P15">
        <f t="shared" si="9"/>
        <v>1.0000000000000002E-6</v>
      </c>
      <c r="Q15">
        <f t="shared" si="3"/>
        <v>-8.0403281226498589</v>
      </c>
      <c r="R15">
        <f t="shared" si="4"/>
        <v>-23.631238154622931</v>
      </c>
      <c r="S15">
        <f t="shared" si="5"/>
        <v>-4.605550320776719</v>
      </c>
      <c r="T15">
        <f t="shared" si="6"/>
        <v>-9.2193033254628656</v>
      </c>
      <c r="U15">
        <f t="shared" si="7"/>
        <v>42.459965387923376</v>
      </c>
      <c r="V15">
        <f t="shared" si="8"/>
        <v>21.211093757206541</v>
      </c>
    </row>
    <row r="16" spans="1:22" x14ac:dyDescent="0.55000000000000004">
      <c r="A16" t="s">
        <v>60</v>
      </c>
      <c r="P16" t="s">
        <v>61</v>
      </c>
      <c r="Q16">
        <f t="array" ref="Q16">SUM(Q11:Q15/5)</f>
        <v>-3.4347778018731399</v>
      </c>
      <c r="R16">
        <f t="array" ref="R16">SUM(R11:R15/5)</f>
        <v>-14.411934829160066</v>
      </c>
      <c r="U16" s="8">
        <f>SUM(U11:U15)</f>
        <v>106.10471527155521</v>
      </c>
      <c r="V16" s="8">
        <f>SUM(V11:V15)</f>
        <v>53.035523358154343</v>
      </c>
    </row>
    <row r="17" spans="1:21" x14ac:dyDescent="0.55000000000000004">
      <c r="A17" s="9" t="s">
        <v>62</v>
      </c>
      <c r="T17" s="5" t="s">
        <v>63</v>
      </c>
      <c r="U17" s="5">
        <f>U16/V16</f>
        <v>2.0006348302630892</v>
      </c>
    </row>
    <row r="18" spans="1:21" x14ac:dyDescent="0.55000000000000004">
      <c r="A18" s="9" t="s">
        <v>64</v>
      </c>
    </row>
    <row r="19" spans="1:21" x14ac:dyDescent="0.55000000000000004">
      <c r="A19" s="10" t="s">
        <v>65</v>
      </c>
    </row>
    <row r="20" spans="1:21" x14ac:dyDescent="0.55000000000000004">
      <c r="A20" s="10" t="s">
        <v>66</v>
      </c>
    </row>
    <row r="21" spans="1:21" x14ac:dyDescent="0.55000000000000004">
      <c r="A21" s="10" t="s">
        <v>67</v>
      </c>
    </row>
    <row r="22" spans="1:21" x14ac:dyDescent="0.55000000000000004">
      <c r="A22" s="10" t="s">
        <v>68</v>
      </c>
    </row>
    <row r="23" spans="1:21" x14ac:dyDescent="0.55000000000000004">
      <c r="A23" s="10" t="s">
        <v>69</v>
      </c>
      <c r="G23" t="s">
        <v>70</v>
      </c>
    </row>
    <row r="24" spans="1:21" x14ac:dyDescent="0.55000000000000004">
      <c r="A24" t="s">
        <v>71</v>
      </c>
    </row>
    <row r="25" spans="1:21" x14ac:dyDescent="0.55000000000000004">
      <c r="A25" s="8" t="s">
        <v>72</v>
      </c>
    </row>
    <row r="26" spans="1:21" x14ac:dyDescent="0.55000000000000004">
      <c r="A26" s="8" t="s">
        <v>73</v>
      </c>
    </row>
    <row r="27" spans="1:21" x14ac:dyDescent="0.55000000000000004">
      <c r="A27" t="s">
        <v>70</v>
      </c>
    </row>
    <row r="28" spans="1:21" x14ac:dyDescent="0.55000000000000004">
      <c r="A28" t="s">
        <v>74</v>
      </c>
    </row>
  </sheetData>
  <conditionalFormatting sqref="Q3:Q7">
    <cfRule type="top10" dxfId="3" priority="2" percent="1" rank="10"/>
  </conditionalFormatting>
  <conditionalFormatting sqref="B5">
    <cfRule type="top10" dxfId="1" priority="1" percent="1" rank="1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PCuser</cp:lastModifiedBy>
  <dcterms:created xsi:type="dcterms:W3CDTF">2026-10-31T19:47:53Z</dcterms:created>
  <dcterms:modified xsi:type="dcterms:W3CDTF">2026-10-31T19:48:56Z</dcterms:modified>
</cp:coreProperties>
</file>